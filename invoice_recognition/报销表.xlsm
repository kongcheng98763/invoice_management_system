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oXun\Desktop\vs\"/>
    </mc:Choice>
  </mc:AlternateContent>
  <xr:revisionPtr revIDLastSave="0" documentId="13_ncr:1_{34341455-C6EE-44EA-9C78-8E66CBF86E27}" xr6:coauthVersionLast="47" xr6:coauthVersionMax="47" xr10:uidLastSave="{00000000-0000-0000-0000-000000000000}"/>
  <bookViews>
    <workbookView xWindow="0" yWindow="0" windowWidth="22368" windowHeight="12240" xr2:uid="{00000000-000D-0000-FFFF-FFFF00000000}"/>
  </bookViews>
  <sheets>
    <sheet name="报销总述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3" i="1" l="1"/>
  <c r="F21" i="1"/>
  <c r="F22" i="1"/>
  <c r="F11" i="1"/>
  <c r="F20" i="1"/>
  <c r="F3" i="1"/>
  <c r="F4" i="1"/>
  <c r="F17" i="1"/>
  <c r="F16" i="1"/>
  <c r="F8" i="1"/>
  <c r="F15" i="1"/>
  <c r="F14" i="1"/>
</calcChain>
</file>

<file path=xl/sharedStrings.xml><?xml version="1.0" encoding="utf-8"?>
<sst xmlns="http://schemas.openxmlformats.org/spreadsheetml/2006/main" count="131" uniqueCount="60">
  <si>
    <t>文件位置</t>
    <phoneticPr fontId="1" type="noConversion"/>
  </si>
  <si>
    <t>金额</t>
    <phoneticPr fontId="1" type="noConversion"/>
  </si>
  <si>
    <t>模具合同</t>
    <phoneticPr fontId="1" type="noConversion"/>
  </si>
  <si>
    <t>报销大类</t>
    <phoneticPr fontId="1" type="noConversion"/>
  </si>
  <si>
    <t>酬金申报</t>
    <phoneticPr fontId="1" type="noConversion"/>
  </si>
  <si>
    <t>备注2</t>
    <phoneticPr fontId="1" type="noConversion"/>
  </si>
  <si>
    <t>专家咨询费</t>
    <phoneticPr fontId="1" type="noConversion"/>
  </si>
  <si>
    <t>学生劳务费</t>
    <phoneticPr fontId="1" type="noConversion"/>
  </si>
  <si>
    <t>退回需补充发票</t>
    <phoneticPr fontId="1" type="noConversion"/>
  </si>
  <si>
    <t>项目调整说明</t>
    <phoneticPr fontId="1" type="noConversion"/>
  </si>
  <si>
    <t>/</t>
    <phoneticPr fontId="1" type="noConversion"/>
  </si>
  <si>
    <t>日常报销</t>
    <phoneticPr fontId="1" type="noConversion"/>
  </si>
  <si>
    <t>餐饮费</t>
    <phoneticPr fontId="1" type="noConversion"/>
  </si>
  <si>
    <t>574(只报这部分)+50(押金不报)</t>
    <phoneticPr fontId="1" type="noConversion"/>
  </si>
  <si>
    <t>额外事项</t>
    <phoneticPr fontId="1" type="noConversion"/>
  </si>
  <si>
    <t>原件未改重新上传2026.5.8</t>
    <phoneticPr fontId="1" type="noConversion"/>
  </si>
  <si>
    <t>经手时间</t>
    <phoneticPr fontId="1" type="noConversion"/>
  </si>
  <si>
    <t>2026.05.07</t>
    <phoneticPr fontId="1" type="noConversion"/>
  </si>
  <si>
    <t>2026.05.08</t>
    <phoneticPr fontId="1" type="noConversion"/>
  </si>
  <si>
    <t>2026.04.24</t>
    <phoneticPr fontId="1" type="noConversion"/>
  </si>
  <si>
    <t>2026.05.14</t>
    <phoneticPr fontId="1" type="noConversion"/>
  </si>
  <si>
    <t>差旅费</t>
    <phoneticPr fontId="1" type="noConversion"/>
  </si>
  <si>
    <t>国内差旅</t>
    <phoneticPr fontId="1" type="noConversion"/>
  </si>
  <si>
    <t>退改一次</t>
    <phoneticPr fontId="1" type="noConversion"/>
  </si>
  <si>
    <t>材料费</t>
    <phoneticPr fontId="1" type="noConversion"/>
  </si>
  <si>
    <t>2026.05.18</t>
    <phoneticPr fontId="1" type="noConversion"/>
  </si>
  <si>
    <t>2026.05.13</t>
    <phoneticPr fontId="1" type="noConversion"/>
  </si>
  <si>
    <t>2026.05.19</t>
    <phoneticPr fontId="1" type="noConversion"/>
  </si>
  <si>
    <t>2026.05.15</t>
    <phoneticPr fontId="1" type="noConversion"/>
  </si>
  <si>
    <t>2026.05.21</t>
    <phoneticPr fontId="1" type="noConversion"/>
  </si>
  <si>
    <t>常州</t>
    <phoneticPr fontId="1" type="noConversion"/>
  </si>
  <si>
    <t>金华</t>
    <phoneticPr fontId="1" type="noConversion"/>
  </si>
  <si>
    <t>额外200(餐补)+160(交通补贴)</t>
    <phoneticPr fontId="1" type="noConversion"/>
  </si>
  <si>
    <t>额外300(餐补)+240(交通补贴)</t>
    <phoneticPr fontId="1" type="noConversion"/>
  </si>
  <si>
    <t>报销单号</t>
    <phoneticPr fontId="1" type="noConversion"/>
  </si>
  <si>
    <t>2026.06.01</t>
    <phoneticPr fontId="1" type="noConversion"/>
  </si>
  <si>
    <t>A4纸要走招投标流程，还需要备案表、确认书、采购申请</t>
    <phoneticPr fontId="1" type="noConversion"/>
  </si>
  <si>
    <t>2026.06.03</t>
    <phoneticPr fontId="1" type="noConversion"/>
  </si>
  <si>
    <t>版面费</t>
    <phoneticPr fontId="1" type="noConversion"/>
  </si>
  <si>
    <t>会员费</t>
    <phoneticPr fontId="1" type="noConversion"/>
  </si>
  <si>
    <t>完成</t>
    <phoneticPr fontId="1" type="noConversion"/>
  </si>
  <si>
    <t xml:space="preserve">√ </t>
    <phoneticPr fontId="1" type="noConversion"/>
  </si>
  <si>
    <t>×</t>
  </si>
  <si>
    <t>√</t>
  </si>
  <si>
    <t>√</t>
    <phoneticPr fontId="1" type="noConversion"/>
  </si>
  <si>
    <t>流程中</t>
  </si>
  <si>
    <t>2026.06.08</t>
    <phoneticPr fontId="1" type="noConversion"/>
  </si>
  <si>
    <t>额外100(餐补)+80(交通补贴)</t>
    <phoneticPr fontId="1" type="noConversion"/>
  </si>
  <si>
    <t>额外800(餐补)+640(交通补贴)</t>
    <phoneticPr fontId="1" type="noConversion"/>
  </si>
  <si>
    <t>报销项目</t>
    <phoneticPr fontId="1" type="noConversion"/>
  </si>
  <si>
    <t>2026.06.10</t>
    <phoneticPr fontId="1" type="noConversion"/>
  </si>
  <si>
    <t>去掉纸质品,重新报</t>
    <phoneticPr fontId="1" type="noConversion"/>
  </si>
  <si>
    <t>审稿费</t>
    <phoneticPr fontId="1" type="noConversion"/>
  </si>
  <si>
    <t>备注1</t>
    <phoneticPr fontId="1" type="noConversion"/>
  </si>
  <si>
    <t>共3147</t>
    <phoneticPr fontId="1" type="noConversion"/>
  </si>
  <si>
    <t>序列</t>
    <phoneticPr fontId="1" type="noConversion"/>
  </si>
  <si>
    <t>2026年\06月\2026-06-09 差旅费 是撒旦发生</t>
    <phoneticPr fontId="1" type="noConversion"/>
  </si>
  <si>
    <t>报销人（得钱方）</t>
    <phoneticPr fontId="1" type="noConversion"/>
  </si>
  <si>
    <t>项目负责人</t>
    <phoneticPr fontId="1" type="noConversion"/>
  </si>
  <si>
    <t>还需完成项目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</si>
</sst>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u/>
      <sz val="11"/>
      <color theme="10"/>
      <name val="等线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theme="2" tint="-0.24994659260841701"/>
      </left>
      <right style="thin">
        <color theme="2" tint="-0.24994659260841701"/>
      </right>
      <top style="thin">
        <color theme="2" tint="-0.24994659260841701"/>
      </top>
      <bottom style="thin">
        <color theme="2" tint="-0.24994659260841701"/>
      </bottom>
      <diagonal/>
    </border>
    <border>
      <left style="thin">
        <color theme="2" tint="-0.24994659260841701"/>
      </left>
      <right style="thin">
        <color theme="2" tint="-0.24994659260841701"/>
      </right>
      <top style="thin">
        <color theme="2" tint="-0.24994659260841701"/>
      </top>
      <bottom/>
      <diagonal/>
    </border>
    <border>
      <left style="thin">
        <color theme="2" tint="-0.24994659260841701"/>
      </left>
      <right style="thin">
        <color theme="2" tint="-0.24994659260841701"/>
      </right>
      <top/>
      <bottom/>
      <diagonal/>
    </border>
    <border>
      <left style="thin">
        <color theme="2" tint="-0.24994659260841701"/>
      </left>
      <right style="thin">
        <color theme="2" tint="-0.24994659260841701"/>
      </right>
      <top/>
      <bottom style="thin">
        <color theme="2" tint="-0.24994659260841701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1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/>
    <xf numFmtId="0" fontId="0" fillId="0" borderId="1" xfId="0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3" fillId="0" borderId="1" xfId="1" applyBorder="1" applyAlignment="1">
      <alignment horizontal="center" vertical="center" wrapText="1"/>
    </xf>
    <xf numFmtId="0" fontId="0" fillId="2" borderId="2" xfId="0" applyFill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</cellXfs>
  <cellStyles count="2">
    <cellStyle name="常规" xfId="0" builtinId="0"/>
    <cellStyle name="超链接" xfId="1" builtinId="8"/>
  </cellStyles>
  <dxfs count="15">
    <dxf>
      <fill>
        <patternFill>
          <bgColor rgb="FFF4B084"/>
        </patternFill>
      </fill>
    </dxf>
    <dxf>
      <fill>
        <patternFill>
          <bgColor rgb="FFC6E0B4"/>
        </patternFill>
      </fill>
    </dxf>
    <dxf>
      <fill>
        <patternFill>
          <fgColor auto="1"/>
          <bgColor theme="4" tint="0.59996337778862885"/>
        </patternFill>
      </fill>
    </dxf>
    <dxf>
      <fill>
        <patternFill>
          <bgColor rgb="FFFFBDBD"/>
        </patternFill>
      </fill>
    </dxf>
    <dxf>
      <fill>
        <patternFill>
          <bgColor rgb="FFF4B084"/>
        </patternFill>
      </fill>
    </dxf>
    <dxf>
      <fill>
        <patternFill>
          <bgColor rgb="FFC6E0B4"/>
        </patternFill>
      </fill>
    </dxf>
    <dxf>
      <fill>
        <patternFill>
          <fgColor auto="1"/>
          <bgColor theme="4" tint="0.59996337778862885"/>
        </patternFill>
      </fill>
    </dxf>
    <dxf>
      <fill>
        <patternFill>
          <bgColor rgb="FFFFBDBD"/>
        </patternFill>
      </fill>
    </dxf>
    <dxf>
      <fill>
        <patternFill>
          <bgColor rgb="FFF4B084"/>
        </patternFill>
      </fill>
    </dxf>
    <dxf>
      <fill>
        <patternFill>
          <bgColor rgb="FFC6E0B4"/>
        </patternFill>
      </fill>
    </dxf>
    <dxf>
      <fill>
        <patternFill>
          <fgColor auto="1"/>
          <bgColor theme="4" tint="0.59996337778862885"/>
        </patternFill>
      </fill>
    </dxf>
    <dxf>
      <fill>
        <patternFill>
          <bgColor rgb="FFFFBDBD"/>
        </patternFill>
      </fill>
    </dxf>
    <dxf>
      <fill>
        <patternFill>
          <bgColor rgb="FFF4B084"/>
        </patternFill>
      </fill>
    </dxf>
    <dxf>
      <fill>
        <patternFill>
          <bgColor rgb="FFC6E0B4"/>
        </patternFill>
      </fill>
    </dxf>
    <dxf>
      <fill>
        <patternFill>
          <fgColor auto="1"/>
          <bgColor theme="4" tint="0.59996337778862885"/>
        </patternFill>
      </fill>
    </dxf>
  </dxfs>
  <tableStyles count="0" defaultTableStyle="TableStyleMedium2" defaultPivotStyle="PivotStyleLight16"/>
  <colors>
    <mruColors>
      <color rgb="FFC6E0B4"/>
      <color rgb="FFF4B084"/>
      <color rgb="FF008000"/>
      <color rgb="FF339933"/>
      <color rgb="FF00CC00"/>
      <color rgb="FFA445A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自定义 4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28"/>
  <sheetViews>
    <sheetView tabSelected="1" zoomScale="85" zoomScaleNormal="85" workbookViewId="0">
      <selection activeCell="N5" sqref="N5"/>
    </sheetView>
  </sheetViews>
  <sheetFormatPr defaultRowHeight="13.8"/>
  <cols>
    <col min="1" max="1" width="8.88671875" style="3"/>
    <col min="2" max="3" width="12.44140625" style="3" customWidth="1"/>
    <col min="4" max="4" width="13.33203125" style="3" customWidth="1"/>
    <col min="5" max="5" width="42.44140625" style="3" customWidth="1"/>
    <col min="6" max="6" width="17.44140625" style="3" customWidth="1"/>
    <col min="7" max="7" width="13.77734375" style="3" customWidth="1"/>
    <col min="8" max="8" width="9" style="3" customWidth="1"/>
    <col min="9" max="9" width="12" style="3" customWidth="1"/>
    <col min="10" max="10" width="27.33203125" style="3" customWidth="1"/>
    <col min="11" max="11" width="29.6640625" style="3" customWidth="1"/>
    <col min="12" max="13" width="8.77734375" style="3" customWidth="1"/>
    <col min="14" max="14" width="10.77734375" style="3" customWidth="1"/>
    <col min="15" max="15" width="8.88671875" style="10"/>
    <col min="16" max="16" width="8.88671875" style="2"/>
  </cols>
  <sheetData>
    <row r="1" spans="1:16" s="1" customFormat="1" ht="45.6" customHeight="1">
      <c r="A1" s="4" t="s">
        <v>55</v>
      </c>
      <c r="B1" s="4" t="s">
        <v>16</v>
      </c>
      <c r="C1" s="4" t="s">
        <v>3</v>
      </c>
      <c r="D1" s="4" t="s">
        <v>49</v>
      </c>
      <c r="E1" s="4" t="s">
        <v>57</v>
      </c>
      <c r="F1" s="4" t="s">
        <v>1</v>
      </c>
      <c r="G1" s="4" t="s">
        <v>0</v>
      </c>
      <c r="H1" s="4" t="s">
        <v>34</v>
      </c>
      <c r="I1" s="4" t="s">
        <v>58</v>
      </c>
      <c r="J1" s="4" t="s">
        <v>53</v>
      </c>
      <c r="K1" s="4" t="s">
        <v>5</v>
      </c>
      <c r="L1" s="4" t="s">
        <v>40</v>
      </c>
      <c r="M1" s="4" t="s">
        <v>59</v>
      </c>
      <c r="N1" s="4"/>
      <c r="O1" s="7"/>
      <c r="P1" s="2"/>
    </row>
    <row r="2" spans="1:16" s="2" customFormat="1">
      <c r="A2" s="3">
        <v>1</v>
      </c>
      <c r="B2" s="3" t="s">
        <v>19</v>
      </c>
      <c r="C2" s="3" t="s">
        <v>10</v>
      </c>
      <c r="D2" s="3" t="s">
        <v>2</v>
      </c>
      <c r="E2" s="3"/>
      <c r="F2" s="3">
        <v>49800</v>
      </c>
      <c r="G2" s="3"/>
      <c r="H2" s="3" t="s">
        <v>10</v>
      </c>
      <c r="I2" s="3"/>
      <c r="J2" s="3"/>
      <c r="K2" s="3"/>
      <c r="L2" s="3" t="s">
        <v>42</v>
      </c>
      <c r="M2" s="3"/>
      <c r="N2" s="3"/>
      <c r="O2" s="8"/>
    </row>
    <row r="3" spans="1:16">
      <c r="A3" s="3">
        <v>2</v>
      </c>
      <c r="B3" s="3" t="s">
        <v>17</v>
      </c>
      <c r="C3" s="3" t="s">
        <v>4</v>
      </c>
      <c r="D3" s="3" t="s">
        <v>6</v>
      </c>
      <c r="F3" s="3">
        <f>1500*5</f>
        <v>7500</v>
      </c>
      <c r="L3" s="3" t="s">
        <v>43</v>
      </c>
      <c r="O3" s="8"/>
    </row>
    <row r="4" spans="1:16">
      <c r="A4" s="3">
        <v>3</v>
      </c>
      <c r="B4" s="3" t="s">
        <v>17</v>
      </c>
      <c r="C4" s="3" t="s">
        <v>4</v>
      </c>
      <c r="D4" s="3" t="s">
        <v>7</v>
      </c>
      <c r="F4" s="3">
        <f>600+600+500</f>
        <v>1700</v>
      </c>
      <c r="L4" s="3" t="s">
        <v>43</v>
      </c>
      <c r="O4" s="8"/>
    </row>
    <row r="5" spans="1:16" s="2" customFormat="1">
      <c r="A5" s="3">
        <v>4</v>
      </c>
      <c r="B5" s="3" t="s">
        <v>17</v>
      </c>
      <c r="C5" s="3" t="s">
        <v>10</v>
      </c>
      <c r="D5" s="3" t="s">
        <v>9</v>
      </c>
      <c r="E5" s="3"/>
      <c r="F5" s="3" t="s">
        <v>10</v>
      </c>
      <c r="G5" s="3"/>
      <c r="H5" s="3"/>
      <c r="I5" s="3"/>
      <c r="J5" s="3" t="s">
        <v>14</v>
      </c>
      <c r="K5" s="3" t="s">
        <v>23</v>
      </c>
      <c r="L5" s="3" t="s">
        <v>41</v>
      </c>
      <c r="M5" s="3"/>
      <c r="N5" s="3"/>
      <c r="O5" s="8"/>
    </row>
    <row r="6" spans="1:16" s="1" customFormat="1">
      <c r="A6" s="3">
        <v>5</v>
      </c>
      <c r="B6" s="3" t="s">
        <v>18</v>
      </c>
      <c r="C6" s="3" t="s">
        <v>4</v>
      </c>
      <c r="D6" s="3" t="s">
        <v>6</v>
      </c>
      <c r="E6" s="3"/>
      <c r="F6" s="3">
        <v>4000</v>
      </c>
      <c r="G6" s="3"/>
      <c r="H6" s="3"/>
      <c r="I6" s="3"/>
      <c r="J6" s="3" t="s">
        <v>8</v>
      </c>
      <c r="K6" s="3" t="s">
        <v>15</v>
      </c>
      <c r="L6" s="3" t="s">
        <v>44</v>
      </c>
      <c r="M6" s="3"/>
      <c r="N6" s="3"/>
      <c r="O6" s="8"/>
      <c r="P6" s="2"/>
    </row>
    <row r="7" spans="1:16" ht="27.6">
      <c r="A7" s="3">
        <v>6</v>
      </c>
      <c r="B7" s="3" t="s">
        <v>18</v>
      </c>
      <c r="C7" s="3" t="s">
        <v>11</v>
      </c>
      <c r="D7" s="3" t="s">
        <v>12</v>
      </c>
      <c r="F7" s="3" t="s">
        <v>13</v>
      </c>
      <c r="L7" s="3" t="s">
        <v>43</v>
      </c>
      <c r="O7" s="8"/>
    </row>
    <row r="8" spans="1:16">
      <c r="A8" s="3">
        <v>7</v>
      </c>
      <c r="B8" s="3" t="s">
        <v>26</v>
      </c>
      <c r="C8" s="3" t="s">
        <v>4</v>
      </c>
      <c r="D8" s="3" t="s">
        <v>7</v>
      </c>
      <c r="F8" s="3">
        <f>4*600+4*500</f>
        <v>4400</v>
      </c>
      <c r="L8" s="3" t="s">
        <v>43</v>
      </c>
      <c r="O8" s="8"/>
    </row>
    <row r="9" spans="1:16">
      <c r="A9" s="3">
        <v>8</v>
      </c>
      <c r="B9" s="3" t="s">
        <v>20</v>
      </c>
      <c r="C9" s="3" t="s">
        <v>22</v>
      </c>
      <c r="D9" s="3" t="s">
        <v>21</v>
      </c>
      <c r="F9" s="3">
        <v>136</v>
      </c>
      <c r="L9" s="3" t="s">
        <v>43</v>
      </c>
      <c r="O9" s="8"/>
    </row>
    <row r="10" spans="1:16">
      <c r="A10" s="3">
        <v>9</v>
      </c>
      <c r="B10" s="3" t="s">
        <v>28</v>
      </c>
      <c r="C10" s="3" t="s">
        <v>4</v>
      </c>
      <c r="D10" s="3" t="s">
        <v>7</v>
      </c>
      <c r="F10" s="3">
        <v>900</v>
      </c>
      <c r="L10" s="3" t="s">
        <v>43</v>
      </c>
      <c r="O10" s="8"/>
    </row>
    <row r="11" spans="1:16" ht="27.6">
      <c r="A11" s="3">
        <v>10</v>
      </c>
      <c r="B11" s="3" t="s">
        <v>25</v>
      </c>
      <c r="C11" s="3" t="s">
        <v>11</v>
      </c>
      <c r="D11" s="3" t="s">
        <v>24</v>
      </c>
      <c r="F11" s="3">
        <f>183.5+235.6</f>
        <v>419.1</v>
      </c>
      <c r="H11" s="3">
        <v>476785</v>
      </c>
      <c r="J11" s="3" t="s">
        <v>36</v>
      </c>
      <c r="K11" s="3" t="s">
        <v>51</v>
      </c>
      <c r="L11" s="3" t="s">
        <v>45</v>
      </c>
      <c r="O11" s="8"/>
    </row>
    <row r="12" spans="1:16">
      <c r="A12" s="3">
        <v>11</v>
      </c>
      <c r="B12" s="3" t="s">
        <v>25</v>
      </c>
      <c r="C12" s="3" t="s">
        <v>4</v>
      </c>
      <c r="D12" s="3" t="s">
        <v>7</v>
      </c>
      <c r="F12" s="3">
        <v>1800</v>
      </c>
      <c r="L12" s="3" t="s">
        <v>43</v>
      </c>
      <c r="O12" s="8"/>
    </row>
    <row r="13" spans="1:16">
      <c r="A13" s="3">
        <v>12</v>
      </c>
      <c r="B13" s="3" t="s">
        <v>27</v>
      </c>
      <c r="C13" s="3" t="s">
        <v>4</v>
      </c>
      <c r="D13" s="3" t="s">
        <v>7</v>
      </c>
      <c r="F13" s="3">
        <v>500</v>
      </c>
      <c r="L13" s="3" t="s">
        <v>43</v>
      </c>
      <c r="O13" s="8"/>
    </row>
    <row r="14" spans="1:16">
      <c r="A14" s="3">
        <v>13</v>
      </c>
      <c r="B14" s="3" t="s">
        <v>29</v>
      </c>
      <c r="C14" s="3" t="s">
        <v>22</v>
      </c>
      <c r="D14" s="3" t="s">
        <v>21</v>
      </c>
      <c r="F14" s="3">
        <f>138+288+63+336+380</f>
        <v>1205</v>
      </c>
      <c r="J14" s="3" t="s">
        <v>30</v>
      </c>
      <c r="K14" s="3" t="s">
        <v>32</v>
      </c>
      <c r="L14" s="3" t="s">
        <v>43</v>
      </c>
      <c r="O14" s="8"/>
    </row>
    <row r="15" spans="1:16">
      <c r="A15" s="3">
        <v>14</v>
      </c>
      <c r="B15" s="3" t="s">
        <v>29</v>
      </c>
      <c r="C15" s="3" t="s">
        <v>22</v>
      </c>
      <c r="D15" s="3" t="s">
        <v>21</v>
      </c>
      <c r="F15" s="3">
        <f>39+97+24+46+68+340+340</f>
        <v>954</v>
      </c>
      <c r="J15" s="3" t="s">
        <v>31</v>
      </c>
      <c r="K15" s="3" t="s">
        <v>33</v>
      </c>
      <c r="L15" s="3" t="s">
        <v>43</v>
      </c>
      <c r="O15" s="8"/>
    </row>
    <row r="16" spans="1:16">
      <c r="A16" s="3">
        <v>15</v>
      </c>
      <c r="B16" s="3" t="s">
        <v>35</v>
      </c>
      <c r="C16" s="3" t="s">
        <v>4</v>
      </c>
      <c r="D16" s="3" t="s">
        <v>7</v>
      </c>
      <c r="F16" s="3">
        <f>500+600</f>
        <v>1100</v>
      </c>
      <c r="H16" s="3">
        <v>473994</v>
      </c>
      <c r="L16" s="3" t="s">
        <v>43</v>
      </c>
      <c r="O16" s="8"/>
    </row>
    <row r="17" spans="1:15">
      <c r="A17" s="3">
        <v>16</v>
      </c>
      <c r="B17" s="3" t="s">
        <v>35</v>
      </c>
      <c r="C17" s="3" t="s">
        <v>4</v>
      </c>
      <c r="D17" s="3" t="s">
        <v>7</v>
      </c>
      <c r="F17" s="3">
        <f>4*600+4*500</f>
        <v>4400</v>
      </c>
      <c r="H17" s="3">
        <v>474014</v>
      </c>
      <c r="L17" s="3" t="s">
        <v>43</v>
      </c>
      <c r="O17" s="8"/>
    </row>
    <row r="18" spans="1:15">
      <c r="A18" s="3">
        <v>17</v>
      </c>
      <c r="B18" s="3" t="s">
        <v>35</v>
      </c>
      <c r="C18" s="3" t="s">
        <v>11</v>
      </c>
      <c r="D18" s="3" t="s">
        <v>12</v>
      </c>
      <c r="F18" s="3">
        <v>1700</v>
      </c>
      <c r="H18" s="3">
        <v>474131</v>
      </c>
      <c r="L18" s="3" t="s">
        <v>45</v>
      </c>
      <c r="O18" s="8"/>
    </row>
    <row r="19" spans="1:15">
      <c r="A19" s="3">
        <v>18</v>
      </c>
      <c r="B19" s="3" t="s">
        <v>37</v>
      </c>
      <c r="C19" s="3" t="s">
        <v>11</v>
      </c>
      <c r="D19" s="3" t="s">
        <v>38</v>
      </c>
      <c r="F19" s="3">
        <v>1600</v>
      </c>
      <c r="H19" s="3">
        <v>476511</v>
      </c>
      <c r="L19" s="3" t="s">
        <v>43</v>
      </c>
      <c r="O19" s="8"/>
    </row>
    <row r="20" spans="1:15">
      <c r="A20" s="3">
        <v>19</v>
      </c>
      <c r="B20" s="3" t="s">
        <v>37</v>
      </c>
      <c r="C20" s="3" t="s">
        <v>11</v>
      </c>
      <c r="D20" s="3" t="s">
        <v>39</v>
      </c>
      <c r="F20" s="3">
        <f>1080-2</f>
        <v>1078</v>
      </c>
      <c r="H20" s="3">
        <v>475390</v>
      </c>
      <c r="L20" s="3" t="s">
        <v>43</v>
      </c>
      <c r="O20" s="8"/>
    </row>
    <row r="21" spans="1:15">
      <c r="A21" s="3">
        <v>20</v>
      </c>
      <c r="B21" s="3" t="s">
        <v>46</v>
      </c>
      <c r="C21" s="3" t="s">
        <v>11</v>
      </c>
      <c r="D21" s="3" t="s">
        <v>21</v>
      </c>
      <c r="F21" s="3">
        <f>56+136+125+121+156.5+56+110+136+123+121+32+60</f>
        <v>1232.5</v>
      </c>
      <c r="H21" s="3">
        <v>477824</v>
      </c>
      <c r="K21" s="3" t="s">
        <v>48</v>
      </c>
      <c r="L21" s="3" t="s">
        <v>45</v>
      </c>
      <c r="O21" s="9"/>
    </row>
    <row r="22" spans="1:15">
      <c r="A22" s="3">
        <v>21</v>
      </c>
      <c r="B22" s="3" t="s">
        <v>46</v>
      </c>
      <c r="C22" s="3" t="s">
        <v>11</v>
      </c>
      <c r="D22" s="3" t="s">
        <v>21</v>
      </c>
      <c r="F22" s="3">
        <f>125+136</f>
        <v>261</v>
      </c>
      <c r="H22" s="3">
        <v>476968</v>
      </c>
      <c r="K22" s="3" t="s">
        <v>47</v>
      </c>
      <c r="L22" s="3" t="s">
        <v>45</v>
      </c>
    </row>
    <row r="23" spans="1:15">
      <c r="A23" s="3">
        <v>22</v>
      </c>
      <c r="B23" s="3" t="s">
        <v>50</v>
      </c>
      <c r="C23" s="3" t="s">
        <v>11</v>
      </c>
      <c r="D23" s="3" t="s">
        <v>21</v>
      </c>
      <c r="F23" s="3">
        <f>457+1250</f>
        <v>1707</v>
      </c>
      <c r="H23" s="3">
        <v>477705</v>
      </c>
      <c r="J23" s="3" t="s">
        <v>54</v>
      </c>
      <c r="K23" s="3" t="s">
        <v>48</v>
      </c>
      <c r="L23" s="3" t="s">
        <v>45</v>
      </c>
    </row>
    <row r="24" spans="1:15">
      <c r="A24" s="3">
        <v>23</v>
      </c>
      <c r="B24" s="3" t="s">
        <v>50</v>
      </c>
      <c r="C24" s="5" t="s">
        <v>11</v>
      </c>
      <c r="D24" s="3" t="s">
        <v>52</v>
      </c>
      <c r="F24" s="3">
        <v>200</v>
      </c>
      <c r="H24" s="3">
        <v>477780</v>
      </c>
      <c r="L24" s="3" t="s">
        <v>45</v>
      </c>
    </row>
    <row r="25" spans="1:15">
      <c r="A25" s="3">
        <v>24</v>
      </c>
      <c r="B25" s="3" t="s">
        <v>50</v>
      </c>
      <c r="C25" s="3" t="s">
        <v>11</v>
      </c>
      <c r="D25" s="3" t="s">
        <v>7</v>
      </c>
      <c r="F25" s="3">
        <v>120</v>
      </c>
      <c r="H25" s="3">
        <v>477762</v>
      </c>
      <c r="L25" s="3" t="s">
        <v>45</v>
      </c>
    </row>
    <row r="26" spans="1:15" ht="55.2">
      <c r="A26" s="3">
        <v>25</v>
      </c>
      <c r="B26" s="3" t="s">
        <v>50</v>
      </c>
      <c r="C26" s="3" t="s">
        <v>11</v>
      </c>
      <c r="D26" s="3" t="s">
        <v>7</v>
      </c>
      <c r="F26" s="3">
        <v>3390</v>
      </c>
      <c r="G26" s="3" t="s">
        <v>56</v>
      </c>
      <c r="H26" s="3">
        <v>477954</v>
      </c>
      <c r="L26" s="3" t="s">
        <v>45</v>
      </c>
    </row>
    <row r="27" spans="1:15">
      <c r="G27" s="6"/>
    </row>
    <row r="28" spans="1:15">
      <c r="G28" s="6"/>
    </row>
  </sheetData>
  <mergeCells count="1">
    <mergeCell ref="O1:O1048576"/>
  </mergeCells>
  <phoneticPr fontId="1" type="noConversion"/>
  <conditionalFormatting sqref="A2:N1048576 A1:D1 F1:H1 J1:L1 N1">
    <cfRule type="expression" dxfId="14" priority="16">
      <formula>$L1="流程中"</formula>
    </cfRule>
    <cfRule type="expression" dxfId="13" priority="17">
      <formula>AND($D1="餐饮费", $L1="√")</formula>
    </cfRule>
    <cfRule type="expression" dxfId="12" priority="20">
      <formula>$L1="×"</formula>
    </cfRule>
  </conditionalFormatting>
  <conditionalFormatting sqref="E1">
    <cfRule type="expression" dxfId="11" priority="9">
      <formula>$L1="草稿"</formula>
    </cfRule>
    <cfRule type="expression" dxfId="10" priority="10">
      <formula>$L1="流程中"</formula>
    </cfRule>
    <cfRule type="expression" dxfId="9" priority="11">
      <formula>AND($D1="餐饮费", $L1="√")</formula>
    </cfRule>
    <cfRule type="expression" dxfId="8" priority="12">
      <formula>$L1="×"</formula>
    </cfRule>
  </conditionalFormatting>
  <conditionalFormatting sqref="I1">
    <cfRule type="expression" dxfId="7" priority="5">
      <formula>$L1="草稿"</formula>
    </cfRule>
    <cfRule type="expression" dxfId="6" priority="6">
      <formula>$L1="流程中"</formula>
    </cfRule>
    <cfRule type="expression" dxfId="5" priority="7">
      <formula>AND($D1="餐饮费", $L1="√")</formula>
    </cfRule>
    <cfRule type="expression" dxfId="4" priority="8">
      <formula>$L1="×"</formula>
    </cfRule>
  </conditionalFormatting>
  <conditionalFormatting sqref="M1">
    <cfRule type="expression" dxfId="3" priority="1">
      <formula>$L1="草稿"</formula>
    </cfRule>
    <cfRule type="expression" dxfId="2" priority="2">
      <formula>$L1="流程中"</formula>
    </cfRule>
    <cfRule type="expression" dxfId="1" priority="3">
      <formula>AND($D1="餐饮费", $L1="√")</formula>
    </cfRule>
    <cfRule type="expression" dxfId="0" priority="4">
      <formula>$L1="×"</formula>
    </cfRule>
  </conditionalFormatting>
  <dataValidations count="1">
    <dataValidation type="list" allowBlank="1" showInputMessage="1" showErrorMessage="1" sqref="L2:L1048576" xr:uid="{5EC44B02-2B4D-406F-966D-F0FB2D59587F}">
      <formula1>"√,流程中,×"</formula1>
    </dataValidation>
  </dataValidations>
  <pageMargins left="0.7" right="0.7" top="0.75" bottom="0.75" header="0.3" footer="0.3"/>
  <pageSetup paperSize="9" fitToWidth="0" fitToHeight="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报销总述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MoXun</dc:creator>
  <cp:lastModifiedBy>汉镔 赵</cp:lastModifiedBy>
  <cp:lastPrinted>2026-05-19T08:19:49Z</cp:lastPrinted>
  <dcterms:created xsi:type="dcterms:W3CDTF">2015-06-05T18:17:20Z</dcterms:created>
  <dcterms:modified xsi:type="dcterms:W3CDTF">2026-09-19T09:13:50Z</dcterms:modified>
</cp:coreProperties>
</file>